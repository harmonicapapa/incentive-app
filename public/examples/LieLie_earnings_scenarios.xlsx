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Every calendar day. 31 = a 31-day month (use 30, 29 or 28 for shorter months). Source: app reward model (build spec v1.0 plus later changes).</t>
        </r>
      </text>
    </comment>
    <comment ref="C6" authorId="0">
      <text>
        <r>
          <rPr>
            <sz val="10"/>
            <rFont val="Arial"/>
            <family val="2"/>
          </rPr>
          <t xml:space="preserve">16 scheduled college days per month. Source: app reward model (build spec v1.0 plus later changes).</t>
        </r>
      </text>
    </comment>
    <comment ref="C7" authorId="0">
      <text>
        <r>
          <rPr>
            <sz val="10"/>
            <rFont val="Arial"/>
            <family val="2"/>
          </rPr>
          <t xml:space="preserve">Once per Monday–Sunday week, max 4 per month. Source: app reward model (build spec v1.0 plus later changes).</t>
        </r>
      </text>
    </comment>
    <comment ref="C8" authorId="0">
      <text>
        <r>
          <rPr>
            <sz val="10"/>
            <rFont val="Arial"/>
            <family val="2"/>
          </rPr>
          <t xml:space="preserve">Once per week, max 4 per month. Source: app reward model (build spec v1.0 plus later changes).</t>
        </r>
      </text>
    </comment>
    <comment ref="C9" authorId="0">
      <text>
        <r>
          <rPr>
            <sz val="10"/>
            <rFont val="Arial"/>
            <family val="2"/>
          </rPr>
          <t xml:space="preserve">Once per week, max 4 per month. Source: app reward model (build spec v1.0 plus later changes).</t>
        </r>
      </text>
    </comment>
  </commentList>
</comments>
</file>

<file path=xl/sharedStrings.xml><?xml version="1.0" encoding="utf-8"?>
<sst xmlns="http://schemas.openxmlformats.org/spreadsheetml/2006/main" count="92" uniqueCount="84">
  <si>
    <t xml:space="preserve">20 monthly earning scenarios for LieLie</t>
  </si>
  <si>
    <t xml:space="preserve">Sorted from lowest to highest month total. Blue cells are editable; everything else recalculates from them and the Assumptions tab.</t>
  </si>
  <si>
    <t xml:space="preserve">Inputs (count per month)</t>
  </si>
  <si>
    <t xml:space="preserve">Earnings</t>
  </si>
  <si>
    <t xml:space="preserve">Bonus and total</t>
  </si>
  <si>
    <t xml:space="preserve">#</t>
  </si>
  <si>
    <t xml:space="preserve">Scenario</t>
  </si>
  <si>
    <t xml:space="preserve">What happened</t>
  </si>
  <si>
    <t xml:space="preserve">Medication days</t>
  </si>
  <si>
    <t xml:space="preserve">College days attended</t>
  </si>
  <si>
    <t xml:space="preserve">Tidy room (weeks)</t>
  </si>
  <si>
    <t xml:space="preserve">Meals (weeks)</t>
  </si>
  <si>
    <t xml:space="preserve">Bathroom (weeks)</t>
  </si>
  <si>
    <t xml:space="preserve">Medication (£)</t>
  </si>
  <si>
    <t xml:space="preserve">College (£)</t>
  </si>
  <si>
    <t xml:space="preserve">Tidy room (£)</t>
  </si>
  <si>
    <t xml:space="preserve">Meals (£)</t>
  </si>
  <si>
    <t xml:space="preserve">Bathroom (£)</t>
  </si>
  <si>
    <t xml:space="preserve">Task earnings (£)</t>
  </si>
  <si>
    <t xml:space="preserve">College days missed</t>
  </si>
  <si>
    <t xml:space="preserve">Bonus (£)</t>
  </si>
  <si>
    <t xml:space="preserve">Month total (£)</t>
  </si>
  <si>
    <t xml:space="preserve">% of max</t>
  </si>
  <si>
    <t xml:space="preserve">Nothing done</t>
  </si>
  <si>
    <t xml:space="preserve">No tasks completed all month.</t>
  </si>
  <si>
    <t xml:space="preserve">Very poor</t>
  </si>
  <si>
    <t xml:space="preserve">A few mornings, rarely at college.</t>
  </si>
  <si>
    <t xml:space="preserve">Occasional mornings, one chore.</t>
  </si>
  <si>
    <t xml:space="preserve">Poor</t>
  </si>
  <si>
    <t xml:space="preserve">About a third of mornings; under a third of college.</t>
  </si>
  <si>
    <t xml:space="preserve">Patchy routine, one of each chore.</t>
  </si>
  <si>
    <t xml:space="preserve">Under half of mornings and college.</t>
  </si>
  <si>
    <t xml:space="preserve">Below average</t>
  </si>
  <si>
    <t xml:space="preserve">Half of college days, some chores.</t>
  </si>
  <si>
    <t xml:space="preserve">College only</t>
  </si>
  <si>
    <t xml:space="preserve">Every college day but nothing else: £50 bonus.</t>
  </si>
  <si>
    <t xml:space="preserve">Just over half of mornings; 7 college days missed, one too many for the £10 bonus.</t>
  </si>
  <si>
    <t xml:space="preserve">Fair</t>
  </si>
  <si>
    <t xml:space="preserve">Two-thirds of mornings; 6 college days missed: £10 bonus.</t>
  </si>
  <si>
    <t xml:space="preserve">Chores only</t>
  </si>
  <si>
    <t xml:space="preserve">All weekly chores, most mornings, but no college (16 missed).</t>
  </si>
  <si>
    <t xml:space="preserve">5 college days missed: £10 bonus.</t>
  </si>
  <si>
    <t xml:space="preserve">Solid</t>
  </si>
  <si>
    <t xml:space="preserve">4 college days missed: £20 bonus.</t>
  </si>
  <si>
    <t xml:space="preserve">Good</t>
  </si>
  <si>
    <t xml:space="preserve">Most mornings, 4 college days missed, three of each chore.</t>
  </si>
  <si>
    <t xml:space="preserve">3 college days missed: £20 bonus.</t>
  </si>
  <si>
    <t xml:space="preserve">Very good</t>
  </si>
  <si>
    <t xml:space="preserve">2 college days missed: £30 bonus.</t>
  </si>
  <si>
    <t xml:space="preserve">1 college day missed, nearly all chores: £30 bonus.</t>
  </si>
  <si>
    <t xml:space="preserve">Excellent</t>
  </si>
  <si>
    <t xml:space="preserve">All chores, 1 college day missed.</t>
  </si>
  <si>
    <t xml:space="preserve">Near perfect</t>
  </si>
  <si>
    <t xml:space="preserve">Everything except one college day: £30 bonus.</t>
  </si>
  <si>
    <t xml:space="preserve">Perfect</t>
  </si>
  <si>
    <t xml:space="preserve">Every task, every day. No college days missed: £50 bonus.</t>
  </si>
  <si>
    <t xml:space="preserve">Average of the 20 scenarios</t>
  </si>
  <si>
    <t xml:space="preserve">Maximum possible</t>
  </si>
  <si>
    <t xml:space="preserve">LieLie incentive — monthly assumptions</t>
  </si>
  <si>
    <t xml:space="preserve">Blue cells are inputs taken from the agreed reward model in the app. Change them and every scenario recalculates.</t>
  </si>
  <si>
    <t xml:space="preserve">Task</t>
  </si>
  <si>
    <t xml:space="preserve">Value per completion (£)</t>
  </si>
  <si>
    <t xml:space="preserve">Max times per month</t>
  </si>
  <si>
    <t xml:space="preserve">Monthly max (£)</t>
  </si>
  <si>
    <t xml:space="preserve">Medication (morning routine)</t>
  </si>
  <si>
    <t xml:space="preserve">College attendance</t>
  </si>
  <si>
    <t xml:space="preserve">Tidy room</t>
  </si>
  <si>
    <t xml:space="preserve">Meal preparation</t>
  </si>
  <si>
    <t xml:space="preserve">Clean bathroom</t>
  </si>
  <si>
    <t xml:space="preserve">Task earnings maximum</t>
  </si>
  <si>
    <t xml:space="preserve">Attendance bonus level</t>
  </si>
  <si>
    <t xml:space="preserve">Max college days missed</t>
  </si>
  <si>
    <t xml:space="preserve">No days missed</t>
  </si>
  <si>
    <t xml:space="preserve">1–2 days missed</t>
  </si>
  <si>
    <t xml:space="preserve">3–4 days missed</t>
  </si>
  <si>
    <t xml:space="preserve">5–6 days missed</t>
  </si>
  <si>
    <t xml:space="preserve">7 or more days missed</t>
  </si>
  <si>
    <t xml:space="preserve">Maximum month total (tasks + top bonus)</t>
  </si>
  <si>
    <t xml:space="preserve">How the app calculates it</t>
  </si>
  <si>
    <t xml:space="preserve">• Every completed task adds its value. Missed tasks add £0 and never remove earlier earnings.</t>
  </si>
  <si>
    <t xml:space="preserve">• The bonus depends only on college days missed: every two missed days drops one level. Excused days never count as missed.</t>
  </si>
  <si>
    <t xml:space="preserve">• Only one level is paid: the one matching the number of days missed (7 or more missed pays no bonus). 99 in the table just means “any number above 6”.</t>
  </si>
  <si>
    <t xml:space="preserve">• During the month the bonus is indicative; it is released on the 1st of the following month.</t>
  </si>
  <si>
    <t xml:space="preserve">• Scenarios assume a 31-day month, 16 college days and no excused days. Days missed = 16 minus days attended.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</si>
</sst>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;&quot;(£&quot;#,##0.00\);\-"/>
    <numFmt numFmtId="166" formatCode="0"/>
    <numFmt numFmtId="167" formatCode="0.0%;\(0.0%\);\-"/>
    <numFmt numFmtId="168" formatCode="\£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E70"/>
      <name val="Arial"/>
      <family val="0"/>
      <charset val="1"/>
    </font>
    <font>
      <b val="true"/>
      <sz val="9"/>
      <color rgb="FF555E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555E7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244A"/>
        <bgColor rgb="FF333333"/>
      </patternFill>
    </fill>
    <fill>
      <patternFill patternType="solid">
        <fgColor rgb="FFEEF1F6"/>
        <bgColor rgb="FFF9F9F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2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A4A"/>
      <rgbColor rgb="FFC0C0C0"/>
      <rgbColor rgb="FF878787"/>
      <rgbColor rgb="FF9999FF"/>
      <rgbColor rgb="FF993366"/>
      <rgbColor rgb="FFF9F9F9"/>
      <rgbColor rgb="FFEE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2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E70"/>
      <rgbColor rgb="FF969696"/>
      <rgbColor rgb="FF1524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 total by scenario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Scenarios!Q4</c:f>
              <c:strCache>
                <c:ptCount val="1"/>
                <c:pt idx="0">
                  <c:v>Month total (£)</c:v>
                </c:pt>
              </c:strCache>
            </c:strRef>
          </c:tx>
          <c:spPr>
            <a:solidFill>
              <a:srgbClr val="147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Scenarios!$B$5:$B$24</c:f>
              <c:strCache>
                <c:ptCount val="20"/>
                <c:pt idx="0">
                  <c:v>Nothing done</c:v>
                </c:pt>
                <c:pt idx="1">
                  <c:v>Very poor</c:v>
                </c:pt>
                <c:pt idx="2">
                  <c:v>Very poor</c:v>
                </c:pt>
                <c:pt idx="3">
                  <c:v>Poor</c:v>
                </c:pt>
                <c:pt idx="4">
                  <c:v>Poor</c:v>
                </c:pt>
                <c:pt idx="5">
                  <c:v>Poor</c:v>
                </c:pt>
                <c:pt idx="6">
                  <c:v>Below average</c:v>
                </c:pt>
                <c:pt idx="7">
                  <c:v>College only</c:v>
                </c:pt>
                <c:pt idx="8">
                  <c:v>Below average</c:v>
                </c:pt>
                <c:pt idx="9">
                  <c:v>Fair</c:v>
                </c:pt>
                <c:pt idx="10">
                  <c:v>Chores only</c:v>
                </c:pt>
                <c:pt idx="11">
                  <c:v>Fair</c:v>
                </c:pt>
                <c:pt idx="12">
                  <c:v>Solid</c:v>
                </c:pt>
                <c:pt idx="13">
                  <c:v>Good</c:v>
                </c:pt>
                <c:pt idx="14">
                  <c:v>Good</c:v>
                </c:pt>
                <c:pt idx="15">
                  <c:v>Very good</c:v>
                </c:pt>
                <c:pt idx="16">
                  <c:v>Very good</c:v>
                </c:pt>
                <c:pt idx="17">
                  <c:v>Excellent</c:v>
                </c:pt>
                <c:pt idx="18">
                  <c:v>Near perfect</c:v>
                </c:pt>
                <c:pt idx="19">
                  <c:v>Perfect</c:v>
                </c:pt>
              </c:strCache>
            </c:strRef>
          </c:cat>
          <c:val>
            <c:numRef>
              <c:f>Scenarios!$Q$5:$Q$24</c:f>
              <c:numCache>
                <c:formatCode>\£#,##0.00;"(£"#,##0.00\);\-</c:formatCode>
                <c:ptCount val="20"/>
                <c:pt idx="0">
                  <c:v>0</c:v>
                </c:pt>
                <c:pt idx="1">
                  <c:v>25</c:v>
                </c:pt>
                <c:pt idx="2">
                  <c:v>49</c:v>
                </c:pt>
                <c:pt idx="3">
                  <c:v>70</c:v>
                </c:pt>
                <c:pt idx="4">
                  <c:v>91</c:v>
                </c:pt>
                <c:pt idx="5">
                  <c:v>107</c:v>
                </c:pt>
                <c:pt idx="6">
                  <c:v>128</c:v>
                </c:pt>
                <c:pt idx="7">
                  <c:v>130</c:v>
                </c:pt>
                <c:pt idx="8">
                  <c:v>149</c:v>
                </c:pt>
                <c:pt idx="9">
                  <c:v>175</c:v>
                </c:pt>
                <c:pt idx="10">
                  <c:v>175</c:v>
                </c:pt>
                <c:pt idx="11">
                  <c:v>196</c:v>
                </c:pt>
                <c:pt idx="12">
                  <c:v>211</c:v>
                </c:pt>
                <c:pt idx="13">
                  <c:v>227</c:v>
                </c:pt>
                <c:pt idx="14">
                  <c:v>235</c:v>
                </c:pt>
                <c:pt idx="15">
                  <c:v>258</c:v>
                </c:pt>
                <c:pt idx="16">
                  <c:v>279</c:v>
                </c:pt>
                <c:pt idx="17">
                  <c:v>292</c:v>
                </c:pt>
                <c:pt idx="18">
                  <c:v>298</c:v>
                </c:pt>
                <c:pt idx="19">
                  <c:v>323</c:v>
                </c:pt>
              </c:numCache>
            </c:numRef>
          </c:val>
        </c:ser>
        <c:gapWidth val="150"/>
        <c:overlap val="0"/>
        <c:axId val="11283062"/>
        <c:axId val="9663434"/>
      </c:barChart>
      <c:catAx>
        <c:axId val="11283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3434"/>
        <c:crosses val="autoZero"/>
        <c:auto val="1"/>
        <c:lblAlgn val="ctr"/>
        <c:lblOffset val="100"/>
        <c:noMultiLvlLbl val="0"/>
      </c:catAx>
      <c:valAx>
        <c:axId val="96634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3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169920</xdr:rowOff>
    </xdr:from>
    <xdr:to>
      <xdr:col>7</xdr:col>
      <xdr:colOff>659520</xdr:colOff>
      <xdr:row>48</xdr:row>
      <xdr:rowOff>108360</xdr:rowOff>
    </xdr:to>
    <xdr:graphicFrame>
      <xdr:nvGraphicFramePr>
        <xdr:cNvPr id="0" name="Chart 1"/>
        <xdr:cNvGraphicFramePr/>
      </xdr:nvGraphicFramePr>
      <xdr:xfrm>
        <a:off x="352440" y="58672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  <c r="I3" s="3" t="s">
        <v>3</v>
      </c>
      <c r="O3" s="3" t="s">
        <v>4</v>
      </c>
    </row>
    <row r="4" customFormat="false" ht="42" hidden="false" customHeight="true" outlineLevel="0" collapsed="false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</row>
    <row r="5" customFormat="false" ht="15" hidden="false" customHeight="false" outlineLevel="0" collapsed="false">
      <c r="A5" s="6" t="n">
        <v>1</v>
      </c>
      <c r="B5" s="7" t="s">
        <v>23</v>
      </c>
      <c r="C5" s="8" t="s">
        <v>24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10" t="n">
        <f aca="false">D5*Assumptions!$B$5</f>
        <v>0</v>
      </c>
      <c r="J5" s="10" t="n">
        <f aca="false">E5*Assumptions!$B$6</f>
        <v>0</v>
      </c>
      <c r="K5" s="10" t="n">
        <f aca="false">F5*Assumptions!$B$7</f>
        <v>0</v>
      </c>
      <c r="L5" s="10" t="n">
        <f aca="false">G5*Assumptions!$B$8</f>
        <v>0</v>
      </c>
      <c r="M5" s="10" t="n">
        <f aca="false">H5*Assumptions!$B$9</f>
        <v>0</v>
      </c>
      <c r="N5" s="10" t="n">
        <f aca="false">SUM(I5:M5)</f>
        <v>0</v>
      </c>
      <c r="O5" s="11" t="n">
        <f aca="false">Assumptions!$C$6-E5</f>
        <v>16</v>
      </c>
      <c r="P5" s="10" t="n">
        <f aca="false">IF(O5&lt;=Assumptions!$B$13,Assumptions!$C$13,IF(O5&lt;=Assumptions!$B$14,Assumptions!$C$14,IF(O5&lt;=Assumptions!$B$15,Assumptions!$C$15,IF(O5&lt;=Assumptions!$B$16,Assumptions!$C$16,Assumptions!$C$17))))</f>
        <v>0</v>
      </c>
      <c r="Q5" s="12" t="n">
        <f aca="false">N5+P5</f>
        <v>0</v>
      </c>
      <c r="R5" s="13" t="n">
        <f aca="false">IF(Assumptions!$D$19=0,0,Q5/Assumptions!$D$19)</f>
        <v>0</v>
      </c>
    </row>
    <row r="6" customFormat="false" ht="15" hidden="false" customHeight="false" outlineLevel="0" collapsed="false">
      <c r="A6" s="14" t="n">
        <v>2</v>
      </c>
      <c r="B6" s="15" t="s">
        <v>25</v>
      </c>
      <c r="C6" s="16" t="s">
        <v>26</v>
      </c>
      <c r="D6" s="17" t="n">
        <v>5</v>
      </c>
      <c r="E6" s="17" t="n">
        <v>2</v>
      </c>
      <c r="F6" s="17" t="n">
        <v>0</v>
      </c>
      <c r="G6" s="17" t="n">
        <v>0</v>
      </c>
      <c r="H6" s="17" t="n">
        <v>0</v>
      </c>
      <c r="I6" s="18" t="n">
        <f aca="false">D6*Assumptions!$B$5</f>
        <v>15</v>
      </c>
      <c r="J6" s="18" t="n">
        <f aca="false">E6*Assumptions!$B$6</f>
        <v>10</v>
      </c>
      <c r="K6" s="18" t="n">
        <f aca="false">F6*Assumptions!$B$7</f>
        <v>0</v>
      </c>
      <c r="L6" s="18" t="n">
        <f aca="false">G6*Assumptions!$B$8</f>
        <v>0</v>
      </c>
      <c r="M6" s="18" t="n">
        <f aca="false">H6*Assumptions!$B$9</f>
        <v>0</v>
      </c>
      <c r="N6" s="18" t="n">
        <f aca="false">SUM(I6:M6)</f>
        <v>25</v>
      </c>
      <c r="O6" s="19" t="n">
        <f aca="false">Assumptions!$C$6-E6</f>
        <v>14</v>
      </c>
      <c r="P6" s="18" t="n">
        <f aca="false">IF(O6&lt;=Assumptions!$B$13,Assumptions!$C$13,IF(O6&lt;=Assumptions!$B$14,Assumptions!$C$14,IF(O6&lt;=Assumptions!$B$15,Assumptions!$C$15,IF(O6&lt;=Assumptions!$B$16,Assumptions!$C$16,Assumptions!$C$17))))</f>
        <v>0</v>
      </c>
      <c r="Q6" s="20" t="n">
        <f aca="false">N6+P6</f>
        <v>25</v>
      </c>
      <c r="R6" s="21" t="n">
        <f aca="false">IF(Assumptions!$D$19=0,0,Q6/Assumptions!$D$19)</f>
        <v>0.0773993808049536</v>
      </c>
    </row>
    <row r="7" customFormat="false" ht="15" hidden="false" customHeight="false" outlineLevel="0" collapsed="false">
      <c r="A7" s="6" t="n">
        <v>3</v>
      </c>
      <c r="B7" s="7" t="s">
        <v>25</v>
      </c>
      <c r="C7" s="8" t="s">
        <v>27</v>
      </c>
      <c r="D7" s="9" t="n">
        <v>8</v>
      </c>
      <c r="E7" s="9" t="n">
        <v>4</v>
      </c>
      <c r="F7" s="9" t="n">
        <v>1</v>
      </c>
      <c r="G7" s="9" t="n">
        <v>0</v>
      </c>
      <c r="H7" s="9" t="n">
        <v>0</v>
      </c>
      <c r="I7" s="10" t="n">
        <f aca="false">D7*Assumptions!$B$5</f>
        <v>24</v>
      </c>
      <c r="J7" s="10" t="n">
        <f aca="false">E7*Assumptions!$B$6</f>
        <v>20</v>
      </c>
      <c r="K7" s="10" t="n">
        <f aca="false">F7*Assumptions!$B$7</f>
        <v>5</v>
      </c>
      <c r="L7" s="10" t="n">
        <f aca="false">G7*Assumptions!$B$8</f>
        <v>0</v>
      </c>
      <c r="M7" s="10" t="n">
        <f aca="false">H7*Assumptions!$B$9</f>
        <v>0</v>
      </c>
      <c r="N7" s="10" t="n">
        <f aca="false">SUM(I7:M7)</f>
        <v>49</v>
      </c>
      <c r="O7" s="11" t="n">
        <f aca="false">Assumptions!$C$6-E7</f>
        <v>12</v>
      </c>
      <c r="P7" s="10" t="n">
        <f aca="false">IF(O7&lt;=Assumptions!$B$13,Assumptions!$C$13,IF(O7&lt;=Assumptions!$B$14,Assumptions!$C$14,IF(O7&lt;=Assumptions!$B$15,Assumptions!$C$15,IF(O7&lt;=Assumptions!$B$16,Assumptions!$C$16,Assumptions!$C$17))))</f>
        <v>0</v>
      </c>
      <c r="Q7" s="12" t="n">
        <f aca="false">N7+P7</f>
        <v>49</v>
      </c>
      <c r="R7" s="13" t="n">
        <f aca="false">IF(Assumptions!$D$19=0,0,Q7/Assumptions!$D$19)</f>
        <v>0.151702786377709</v>
      </c>
    </row>
    <row r="8" customFormat="false" ht="15" hidden="false" customHeight="false" outlineLevel="0" collapsed="false">
      <c r="A8" s="14" t="n">
        <v>4</v>
      </c>
      <c r="B8" s="15" t="s">
        <v>28</v>
      </c>
      <c r="C8" s="16" t="s">
        <v>29</v>
      </c>
      <c r="D8" s="17" t="n">
        <v>10</v>
      </c>
      <c r="E8" s="17" t="n">
        <v>5</v>
      </c>
      <c r="F8" s="17" t="n">
        <v>1</v>
      </c>
      <c r="G8" s="17" t="n">
        <v>1</v>
      </c>
      <c r="H8" s="17" t="n">
        <v>0</v>
      </c>
      <c r="I8" s="18" t="n">
        <f aca="false">D8*Assumptions!$B$5</f>
        <v>30</v>
      </c>
      <c r="J8" s="18" t="n">
        <f aca="false">E8*Assumptions!$B$6</f>
        <v>25</v>
      </c>
      <c r="K8" s="18" t="n">
        <f aca="false">F8*Assumptions!$B$7</f>
        <v>5</v>
      </c>
      <c r="L8" s="18" t="n">
        <f aca="false">G8*Assumptions!$B$8</f>
        <v>10</v>
      </c>
      <c r="M8" s="18" t="n">
        <f aca="false">H8*Assumptions!$B$9</f>
        <v>0</v>
      </c>
      <c r="N8" s="18" t="n">
        <f aca="false">SUM(I8:M8)</f>
        <v>70</v>
      </c>
      <c r="O8" s="19" t="n">
        <f aca="false">Assumptions!$C$6-E8</f>
        <v>11</v>
      </c>
      <c r="P8" s="18" t="n">
        <f aca="false">IF(O8&lt;=Assumptions!$B$13,Assumptions!$C$13,IF(O8&lt;=Assumptions!$B$14,Assumptions!$C$14,IF(O8&lt;=Assumptions!$B$15,Assumptions!$C$15,IF(O8&lt;=Assumptions!$B$16,Assumptions!$C$16,Assumptions!$C$17))))</f>
        <v>0</v>
      </c>
      <c r="Q8" s="20" t="n">
        <f aca="false">N8+P8</f>
        <v>70</v>
      </c>
      <c r="R8" s="21" t="n">
        <f aca="false">IF(Assumptions!$D$19=0,0,Q8/Assumptions!$D$19)</f>
        <v>0.21671826625387</v>
      </c>
    </row>
    <row r="9" customFormat="false" ht="15" hidden="false" customHeight="false" outlineLevel="0" collapsed="false">
      <c r="A9" s="6" t="n">
        <v>5</v>
      </c>
      <c r="B9" s="7" t="s">
        <v>28</v>
      </c>
      <c r="C9" s="8" t="s">
        <v>30</v>
      </c>
      <c r="D9" s="9" t="n">
        <v>12</v>
      </c>
      <c r="E9" s="9" t="n">
        <v>6</v>
      </c>
      <c r="F9" s="9" t="n">
        <v>1</v>
      </c>
      <c r="G9" s="9" t="n">
        <v>1</v>
      </c>
      <c r="H9" s="9" t="n">
        <v>1</v>
      </c>
      <c r="I9" s="10" t="n">
        <f aca="false">D9*Assumptions!$B$5</f>
        <v>36</v>
      </c>
      <c r="J9" s="10" t="n">
        <f aca="false">E9*Assumptions!$B$6</f>
        <v>30</v>
      </c>
      <c r="K9" s="10" t="n">
        <f aca="false">F9*Assumptions!$B$7</f>
        <v>5</v>
      </c>
      <c r="L9" s="10" t="n">
        <f aca="false">G9*Assumptions!$B$8</f>
        <v>10</v>
      </c>
      <c r="M9" s="10" t="n">
        <f aca="false">H9*Assumptions!$B$9</f>
        <v>10</v>
      </c>
      <c r="N9" s="10" t="n">
        <f aca="false">SUM(I9:M9)</f>
        <v>91</v>
      </c>
      <c r="O9" s="11" t="n">
        <f aca="false">Assumptions!$C$6-E9</f>
        <v>10</v>
      </c>
      <c r="P9" s="10" t="n">
        <f aca="false">IF(O9&lt;=Assumptions!$B$13,Assumptions!$C$13,IF(O9&lt;=Assumptions!$B$14,Assumptions!$C$14,IF(O9&lt;=Assumptions!$B$15,Assumptions!$C$15,IF(O9&lt;=Assumptions!$B$16,Assumptions!$C$16,Assumptions!$C$17))))</f>
        <v>0</v>
      </c>
      <c r="Q9" s="12" t="n">
        <f aca="false">N9+P9</f>
        <v>91</v>
      </c>
      <c r="R9" s="13" t="n">
        <f aca="false">IF(Assumptions!$D$19=0,0,Q9/Assumptions!$D$19)</f>
        <v>0.281733746130031</v>
      </c>
    </row>
    <row r="10" customFormat="false" ht="15" hidden="false" customHeight="false" outlineLevel="0" collapsed="false">
      <c r="A10" s="14" t="n">
        <v>6</v>
      </c>
      <c r="B10" s="15" t="s">
        <v>28</v>
      </c>
      <c r="C10" s="16" t="s">
        <v>31</v>
      </c>
      <c r="D10" s="17" t="n">
        <v>14</v>
      </c>
      <c r="E10" s="17" t="n">
        <v>7</v>
      </c>
      <c r="F10" s="17" t="n">
        <v>2</v>
      </c>
      <c r="G10" s="17" t="n">
        <v>1</v>
      </c>
      <c r="H10" s="17" t="n">
        <v>1</v>
      </c>
      <c r="I10" s="18" t="n">
        <f aca="false">D10*Assumptions!$B$5</f>
        <v>42</v>
      </c>
      <c r="J10" s="18" t="n">
        <f aca="false">E10*Assumptions!$B$6</f>
        <v>35</v>
      </c>
      <c r="K10" s="18" t="n">
        <f aca="false">F10*Assumptions!$B$7</f>
        <v>10</v>
      </c>
      <c r="L10" s="18" t="n">
        <f aca="false">G10*Assumptions!$B$8</f>
        <v>10</v>
      </c>
      <c r="M10" s="18" t="n">
        <f aca="false">H10*Assumptions!$B$9</f>
        <v>10</v>
      </c>
      <c r="N10" s="18" t="n">
        <f aca="false">SUM(I10:M10)</f>
        <v>107</v>
      </c>
      <c r="O10" s="19" t="n">
        <f aca="false">Assumptions!$C$6-E10</f>
        <v>9</v>
      </c>
      <c r="P10" s="18" t="n">
        <f aca="false">IF(O10&lt;=Assumptions!$B$13,Assumptions!$C$13,IF(O10&lt;=Assumptions!$B$14,Assumptions!$C$14,IF(O10&lt;=Assumptions!$B$15,Assumptions!$C$15,IF(O10&lt;=Assumptions!$B$16,Assumptions!$C$16,Assumptions!$C$17))))</f>
        <v>0</v>
      </c>
      <c r="Q10" s="20" t="n">
        <f aca="false">N10+P10</f>
        <v>107</v>
      </c>
      <c r="R10" s="21" t="n">
        <f aca="false">IF(Assumptions!$D$19=0,0,Q10/Assumptions!$D$19)</f>
        <v>0.331269349845201</v>
      </c>
    </row>
    <row r="11" customFormat="false" ht="15" hidden="false" customHeight="false" outlineLevel="0" collapsed="false">
      <c r="A11" s="6" t="n">
        <v>7</v>
      </c>
      <c r="B11" s="7" t="s">
        <v>32</v>
      </c>
      <c r="C11" s="8" t="s">
        <v>33</v>
      </c>
      <c r="D11" s="9" t="n">
        <v>16</v>
      </c>
      <c r="E11" s="9" t="n">
        <v>8</v>
      </c>
      <c r="F11" s="9" t="n">
        <v>2</v>
      </c>
      <c r="G11" s="9" t="n">
        <v>2</v>
      </c>
      <c r="H11" s="9" t="n">
        <v>1</v>
      </c>
      <c r="I11" s="10" t="n">
        <f aca="false">D11*Assumptions!$B$5</f>
        <v>48</v>
      </c>
      <c r="J11" s="10" t="n">
        <f aca="false">E11*Assumptions!$B$6</f>
        <v>40</v>
      </c>
      <c r="K11" s="10" t="n">
        <f aca="false">F11*Assumptions!$B$7</f>
        <v>10</v>
      </c>
      <c r="L11" s="10" t="n">
        <f aca="false">G11*Assumptions!$B$8</f>
        <v>20</v>
      </c>
      <c r="M11" s="10" t="n">
        <f aca="false">H11*Assumptions!$B$9</f>
        <v>10</v>
      </c>
      <c r="N11" s="10" t="n">
        <f aca="false">SUM(I11:M11)</f>
        <v>128</v>
      </c>
      <c r="O11" s="11" t="n">
        <f aca="false">Assumptions!$C$6-E11</f>
        <v>8</v>
      </c>
      <c r="P11" s="10" t="n">
        <f aca="false">IF(O11&lt;=Assumptions!$B$13,Assumptions!$C$13,IF(O11&lt;=Assumptions!$B$14,Assumptions!$C$14,IF(O11&lt;=Assumptions!$B$15,Assumptions!$C$15,IF(O11&lt;=Assumptions!$B$16,Assumptions!$C$16,Assumptions!$C$17))))</f>
        <v>0</v>
      </c>
      <c r="Q11" s="12" t="n">
        <f aca="false">N11+P11</f>
        <v>128</v>
      </c>
      <c r="R11" s="13" t="n">
        <f aca="false">IF(Assumptions!$D$19=0,0,Q11/Assumptions!$D$19)</f>
        <v>0.396284829721362</v>
      </c>
    </row>
    <row r="12" customFormat="false" ht="15" hidden="false" customHeight="false" outlineLevel="0" collapsed="false">
      <c r="A12" s="14" t="n">
        <v>8</v>
      </c>
      <c r="B12" s="15" t="s">
        <v>34</v>
      </c>
      <c r="C12" s="16" t="s">
        <v>35</v>
      </c>
      <c r="D12" s="17" t="n">
        <v>0</v>
      </c>
      <c r="E12" s="17" t="n">
        <v>16</v>
      </c>
      <c r="F12" s="17" t="n">
        <v>0</v>
      </c>
      <c r="G12" s="17" t="n">
        <v>0</v>
      </c>
      <c r="H12" s="17" t="n">
        <v>0</v>
      </c>
      <c r="I12" s="18" t="n">
        <f aca="false">D12*Assumptions!$B$5</f>
        <v>0</v>
      </c>
      <c r="J12" s="18" t="n">
        <f aca="false">E12*Assumptions!$B$6</f>
        <v>80</v>
      </c>
      <c r="K12" s="18" t="n">
        <f aca="false">F12*Assumptions!$B$7</f>
        <v>0</v>
      </c>
      <c r="L12" s="18" t="n">
        <f aca="false">G12*Assumptions!$B$8</f>
        <v>0</v>
      </c>
      <c r="M12" s="18" t="n">
        <f aca="false">H12*Assumptions!$B$9</f>
        <v>0</v>
      </c>
      <c r="N12" s="18" t="n">
        <f aca="false">SUM(I12:M12)</f>
        <v>80</v>
      </c>
      <c r="O12" s="19" t="n">
        <f aca="false">Assumptions!$C$6-E12</f>
        <v>0</v>
      </c>
      <c r="P12" s="18" t="n">
        <f aca="false">IF(O12&lt;=Assumptions!$B$13,Assumptions!$C$13,IF(O12&lt;=Assumptions!$B$14,Assumptions!$C$14,IF(O12&lt;=Assumptions!$B$15,Assumptions!$C$15,IF(O12&lt;=Assumptions!$B$16,Assumptions!$C$16,Assumptions!$C$17))))</f>
        <v>50</v>
      </c>
      <c r="Q12" s="20" t="n">
        <f aca="false">N12+P12</f>
        <v>130</v>
      </c>
      <c r="R12" s="21" t="n">
        <f aca="false">IF(Assumptions!$D$19=0,0,Q12/Assumptions!$D$19)</f>
        <v>0.402476780185759</v>
      </c>
    </row>
    <row r="13" customFormat="false" ht="23.85" hidden="false" customHeight="false" outlineLevel="0" collapsed="false">
      <c r="A13" s="6" t="n">
        <v>9</v>
      </c>
      <c r="B13" s="7" t="s">
        <v>32</v>
      </c>
      <c r="C13" s="8" t="s">
        <v>36</v>
      </c>
      <c r="D13" s="9" t="n">
        <v>18</v>
      </c>
      <c r="E13" s="9" t="n">
        <v>9</v>
      </c>
      <c r="F13" s="9" t="n">
        <v>2</v>
      </c>
      <c r="G13" s="9" t="n">
        <v>2</v>
      </c>
      <c r="H13" s="9" t="n">
        <v>2</v>
      </c>
      <c r="I13" s="10" t="n">
        <f aca="false">D13*Assumptions!$B$5</f>
        <v>54</v>
      </c>
      <c r="J13" s="10" t="n">
        <f aca="false">E13*Assumptions!$B$6</f>
        <v>45</v>
      </c>
      <c r="K13" s="10" t="n">
        <f aca="false">F13*Assumptions!$B$7</f>
        <v>10</v>
      </c>
      <c r="L13" s="10" t="n">
        <f aca="false">G13*Assumptions!$B$8</f>
        <v>20</v>
      </c>
      <c r="M13" s="10" t="n">
        <f aca="false">H13*Assumptions!$B$9</f>
        <v>20</v>
      </c>
      <c r="N13" s="10" t="n">
        <f aca="false">SUM(I13:M13)</f>
        <v>149</v>
      </c>
      <c r="O13" s="11" t="n">
        <f aca="false">Assumptions!$C$6-E13</f>
        <v>7</v>
      </c>
      <c r="P13" s="10" t="n">
        <f aca="false">IF(O13&lt;=Assumptions!$B$13,Assumptions!$C$13,IF(O13&lt;=Assumptions!$B$14,Assumptions!$C$14,IF(O13&lt;=Assumptions!$B$15,Assumptions!$C$15,IF(O13&lt;=Assumptions!$B$16,Assumptions!$C$16,Assumptions!$C$17))))</f>
        <v>0</v>
      </c>
      <c r="Q13" s="12" t="n">
        <f aca="false">N13+P13</f>
        <v>149</v>
      </c>
      <c r="R13" s="13" t="n">
        <f aca="false">IF(Assumptions!$D$19=0,0,Q13/Assumptions!$D$19)</f>
        <v>0.461300309597523</v>
      </c>
    </row>
    <row r="14" customFormat="false" ht="23.85" hidden="false" customHeight="false" outlineLevel="0" collapsed="false">
      <c r="A14" s="14" t="n">
        <v>10</v>
      </c>
      <c r="B14" s="15" t="s">
        <v>37</v>
      </c>
      <c r="C14" s="16" t="s">
        <v>38</v>
      </c>
      <c r="D14" s="17" t="n">
        <v>20</v>
      </c>
      <c r="E14" s="17" t="n">
        <v>10</v>
      </c>
      <c r="F14" s="17" t="n">
        <v>3</v>
      </c>
      <c r="G14" s="17" t="n">
        <v>2</v>
      </c>
      <c r="H14" s="17" t="n">
        <v>2</v>
      </c>
      <c r="I14" s="18" t="n">
        <f aca="false">D14*Assumptions!$B$5</f>
        <v>60</v>
      </c>
      <c r="J14" s="18" t="n">
        <f aca="false">E14*Assumptions!$B$6</f>
        <v>50</v>
      </c>
      <c r="K14" s="18" t="n">
        <f aca="false">F14*Assumptions!$B$7</f>
        <v>15</v>
      </c>
      <c r="L14" s="18" t="n">
        <f aca="false">G14*Assumptions!$B$8</f>
        <v>20</v>
      </c>
      <c r="M14" s="18" t="n">
        <f aca="false">H14*Assumptions!$B$9</f>
        <v>20</v>
      </c>
      <c r="N14" s="18" t="n">
        <f aca="false">SUM(I14:M14)</f>
        <v>165</v>
      </c>
      <c r="O14" s="19" t="n">
        <f aca="false">Assumptions!$C$6-E14</f>
        <v>6</v>
      </c>
      <c r="P14" s="18" t="n">
        <f aca="false">IF(O14&lt;=Assumptions!$B$13,Assumptions!$C$13,IF(O14&lt;=Assumptions!$B$14,Assumptions!$C$14,IF(O14&lt;=Assumptions!$B$15,Assumptions!$C$15,IF(O14&lt;=Assumptions!$B$16,Assumptions!$C$16,Assumptions!$C$17))))</f>
        <v>10</v>
      </c>
      <c r="Q14" s="20" t="n">
        <f aca="false">N14+P14</f>
        <v>175</v>
      </c>
      <c r="R14" s="21" t="n">
        <f aca="false">IF(Assumptions!$D$19=0,0,Q14/Assumptions!$D$19)</f>
        <v>0.541795665634675</v>
      </c>
    </row>
    <row r="15" customFormat="false" ht="23.85" hidden="false" customHeight="false" outlineLevel="0" collapsed="false">
      <c r="A15" s="6" t="n">
        <v>11</v>
      </c>
      <c r="B15" s="7" t="s">
        <v>39</v>
      </c>
      <c r="C15" s="8" t="s">
        <v>40</v>
      </c>
      <c r="D15" s="9" t="n">
        <v>25</v>
      </c>
      <c r="E15" s="9" t="n">
        <v>0</v>
      </c>
      <c r="F15" s="9" t="n">
        <v>4</v>
      </c>
      <c r="G15" s="9" t="n">
        <v>4</v>
      </c>
      <c r="H15" s="9" t="n">
        <v>4</v>
      </c>
      <c r="I15" s="10" t="n">
        <f aca="false">D15*Assumptions!$B$5</f>
        <v>75</v>
      </c>
      <c r="J15" s="10" t="n">
        <f aca="false">E15*Assumptions!$B$6</f>
        <v>0</v>
      </c>
      <c r="K15" s="10" t="n">
        <f aca="false">F15*Assumptions!$B$7</f>
        <v>20</v>
      </c>
      <c r="L15" s="10" t="n">
        <f aca="false">G15*Assumptions!$B$8</f>
        <v>40</v>
      </c>
      <c r="M15" s="10" t="n">
        <f aca="false">H15*Assumptions!$B$9</f>
        <v>40</v>
      </c>
      <c r="N15" s="10" t="n">
        <f aca="false">SUM(I15:M15)</f>
        <v>175</v>
      </c>
      <c r="O15" s="11" t="n">
        <f aca="false">Assumptions!$C$6-E15</f>
        <v>16</v>
      </c>
      <c r="P15" s="10" t="n">
        <f aca="false">IF(O15&lt;=Assumptions!$B$13,Assumptions!$C$13,IF(O15&lt;=Assumptions!$B$14,Assumptions!$C$14,IF(O15&lt;=Assumptions!$B$15,Assumptions!$C$15,IF(O15&lt;=Assumptions!$B$16,Assumptions!$C$16,Assumptions!$C$17))))</f>
        <v>0</v>
      </c>
      <c r="Q15" s="12" t="n">
        <f aca="false">N15+P15</f>
        <v>175</v>
      </c>
      <c r="R15" s="13" t="n">
        <f aca="false">IF(Assumptions!$D$19=0,0,Q15/Assumptions!$D$19)</f>
        <v>0.541795665634675</v>
      </c>
    </row>
    <row r="16" customFormat="false" ht="15" hidden="false" customHeight="false" outlineLevel="0" collapsed="false">
      <c r="A16" s="14" t="n">
        <v>12</v>
      </c>
      <c r="B16" s="15" t="s">
        <v>37</v>
      </c>
      <c r="C16" s="16" t="s">
        <v>41</v>
      </c>
      <c r="D16" s="17" t="n">
        <v>22</v>
      </c>
      <c r="E16" s="17" t="n">
        <v>11</v>
      </c>
      <c r="F16" s="17" t="n">
        <v>3</v>
      </c>
      <c r="G16" s="17" t="n">
        <v>3</v>
      </c>
      <c r="H16" s="17" t="n">
        <v>2</v>
      </c>
      <c r="I16" s="18" t="n">
        <f aca="false">D16*Assumptions!$B$5</f>
        <v>66</v>
      </c>
      <c r="J16" s="18" t="n">
        <f aca="false">E16*Assumptions!$B$6</f>
        <v>55</v>
      </c>
      <c r="K16" s="18" t="n">
        <f aca="false">F16*Assumptions!$B$7</f>
        <v>15</v>
      </c>
      <c r="L16" s="18" t="n">
        <f aca="false">G16*Assumptions!$B$8</f>
        <v>30</v>
      </c>
      <c r="M16" s="18" t="n">
        <f aca="false">H16*Assumptions!$B$9</f>
        <v>20</v>
      </c>
      <c r="N16" s="18" t="n">
        <f aca="false">SUM(I16:M16)</f>
        <v>186</v>
      </c>
      <c r="O16" s="19" t="n">
        <f aca="false">Assumptions!$C$6-E16</f>
        <v>5</v>
      </c>
      <c r="P16" s="18" t="n">
        <f aca="false">IF(O16&lt;=Assumptions!$B$13,Assumptions!$C$13,IF(O16&lt;=Assumptions!$B$14,Assumptions!$C$14,IF(O16&lt;=Assumptions!$B$15,Assumptions!$C$15,IF(O16&lt;=Assumptions!$B$16,Assumptions!$C$16,Assumptions!$C$17))))</f>
        <v>10</v>
      </c>
      <c r="Q16" s="20" t="n">
        <f aca="false">N16+P16</f>
        <v>196</v>
      </c>
      <c r="R16" s="21" t="n">
        <f aca="false">IF(Assumptions!$D$19=0,0,Q16/Assumptions!$D$19)</f>
        <v>0.606811145510836</v>
      </c>
    </row>
    <row r="17" customFormat="false" ht="15" hidden="false" customHeight="false" outlineLevel="0" collapsed="false">
      <c r="A17" s="6" t="n">
        <v>13</v>
      </c>
      <c r="B17" s="7" t="s">
        <v>42</v>
      </c>
      <c r="C17" s="8" t="s">
        <v>43</v>
      </c>
      <c r="D17" s="9" t="n">
        <v>22</v>
      </c>
      <c r="E17" s="9" t="n">
        <v>12</v>
      </c>
      <c r="F17" s="9" t="n">
        <v>3</v>
      </c>
      <c r="G17" s="9" t="n">
        <v>3</v>
      </c>
      <c r="H17" s="9" t="n">
        <v>2</v>
      </c>
      <c r="I17" s="10" t="n">
        <f aca="false">D17*Assumptions!$B$5</f>
        <v>66</v>
      </c>
      <c r="J17" s="10" t="n">
        <f aca="false">E17*Assumptions!$B$6</f>
        <v>60</v>
      </c>
      <c r="K17" s="10" t="n">
        <f aca="false">F17*Assumptions!$B$7</f>
        <v>15</v>
      </c>
      <c r="L17" s="10" t="n">
        <f aca="false">G17*Assumptions!$B$8</f>
        <v>30</v>
      </c>
      <c r="M17" s="10" t="n">
        <f aca="false">H17*Assumptions!$B$9</f>
        <v>20</v>
      </c>
      <c r="N17" s="10" t="n">
        <f aca="false">SUM(I17:M17)</f>
        <v>191</v>
      </c>
      <c r="O17" s="11" t="n">
        <f aca="false">Assumptions!$C$6-E17</f>
        <v>4</v>
      </c>
      <c r="P17" s="10" t="n">
        <f aca="false">IF(O17&lt;=Assumptions!$B$13,Assumptions!$C$13,IF(O17&lt;=Assumptions!$B$14,Assumptions!$C$14,IF(O17&lt;=Assumptions!$B$15,Assumptions!$C$15,IF(O17&lt;=Assumptions!$B$16,Assumptions!$C$16,Assumptions!$C$17))))</f>
        <v>20</v>
      </c>
      <c r="Q17" s="12" t="n">
        <f aca="false">N17+P17</f>
        <v>211</v>
      </c>
      <c r="R17" s="13" t="n">
        <f aca="false">IF(Assumptions!$D$19=0,0,Q17/Assumptions!$D$19)</f>
        <v>0.653250773993808</v>
      </c>
    </row>
    <row r="18" customFormat="false" ht="23.85" hidden="false" customHeight="false" outlineLevel="0" collapsed="false">
      <c r="A18" s="14" t="n">
        <v>14</v>
      </c>
      <c r="B18" s="15" t="s">
        <v>44</v>
      </c>
      <c r="C18" s="16" t="s">
        <v>45</v>
      </c>
      <c r="D18" s="17" t="n">
        <v>24</v>
      </c>
      <c r="E18" s="17" t="n">
        <v>12</v>
      </c>
      <c r="F18" s="17" t="n">
        <v>3</v>
      </c>
      <c r="G18" s="17" t="n">
        <v>3</v>
      </c>
      <c r="H18" s="17" t="n">
        <v>3</v>
      </c>
      <c r="I18" s="18" t="n">
        <f aca="false">D18*Assumptions!$B$5</f>
        <v>72</v>
      </c>
      <c r="J18" s="18" t="n">
        <f aca="false">E18*Assumptions!$B$6</f>
        <v>60</v>
      </c>
      <c r="K18" s="18" t="n">
        <f aca="false">F18*Assumptions!$B$7</f>
        <v>15</v>
      </c>
      <c r="L18" s="18" t="n">
        <f aca="false">G18*Assumptions!$B$8</f>
        <v>30</v>
      </c>
      <c r="M18" s="18" t="n">
        <f aca="false">H18*Assumptions!$B$9</f>
        <v>30</v>
      </c>
      <c r="N18" s="18" t="n">
        <f aca="false">SUM(I18:M18)</f>
        <v>207</v>
      </c>
      <c r="O18" s="19" t="n">
        <f aca="false">Assumptions!$C$6-E18</f>
        <v>4</v>
      </c>
      <c r="P18" s="18" t="n">
        <f aca="false">IF(O18&lt;=Assumptions!$B$13,Assumptions!$C$13,IF(O18&lt;=Assumptions!$B$14,Assumptions!$C$14,IF(O18&lt;=Assumptions!$B$15,Assumptions!$C$15,IF(O18&lt;=Assumptions!$B$16,Assumptions!$C$16,Assumptions!$C$17))))</f>
        <v>20</v>
      </c>
      <c r="Q18" s="20" t="n">
        <f aca="false">N18+P18</f>
        <v>227</v>
      </c>
      <c r="R18" s="21" t="n">
        <f aca="false">IF(Assumptions!$D$19=0,0,Q18/Assumptions!$D$19)</f>
        <v>0.702786377708978</v>
      </c>
    </row>
    <row r="19" customFormat="false" ht="15" hidden="false" customHeight="false" outlineLevel="0" collapsed="false">
      <c r="A19" s="6" t="n">
        <v>15</v>
      </c>
      <c r="B19" s="7" t="s">
        <v>44</v>
      </c>
      <c r="C19" s="8" t="s">
        <v>46</v>
      </c>
      <c r="D19" s="9" t="n">
        <v>25</v>
      </c>
      <c r="E19" s="9" t="n">
        <v>13</v>
      </c>
      <c r="F19" s="9" t="n">
        <v>3</v>
      </c>
      <c r="G19" s="9" t="n">
        <v>3</v>
      </c>
      <c r="H19" s="9" t="n">
        <v>3</v>
      </c>
      <c r="I19" s="10" t="n">
        <f aca="false">D19*Assumptions!$B$5</f>
        <v>75</v>
      </c>
      <c r="J19" s="10" t="n">
        <f aca="false">E19*Assumptions!$B$6</f>
        <v>65</v>
      </c>
      <c r="K19" s="10" t="n">
        <f aca="false">F19*Assumptions!$B$7</f>
        <v>15</v>
      </c>
      <c r="L19" s="10" t="n">
        <f aca="false">G19*Assumptions!$B$8</f>
        <v>30</v>
      </c>
      <c r="M19" s="10" t="n">
        <f aca="false">H19*Assumptions!$B$9</f>
        <v>30</v>
      </c>
      <c r="N19" s="10" t="n">
        <f aca="false">SUM(I19:M19)</f>
        <v>215</v>
      </c>
      <c r="O19" s="11" t="n">
        <f aca="false">Assumptions!$C$6-E19</f>
        <v>3</v>
      </c>
      <c r="P19" s="10" t="n">
        <f aca="false">IF(O19&lt;=Assumptions!$B$13,Assumptions!$C$13,IF(O19&lt;=Assumptions!$B$14,Assumptions!$C$14,IF(O19&lt;=Assumptions!$B$15,Assumptions!$C$15,IF(O19&lt;=Assumptions!$B$16,Assumptions!$C$16,Assumptions!$C$17))))</f>
        <v>20</v>
      </c>
      <c r="Q19" s="12" t="n">
        <f aca="false">N19+P19</f>
        <v>235</v>
      </c>
      <c r="R19" s="13" t="n">
        <f aca="false">IF(Assumptions!$D$19=0,0,Q19/Assumptions!$D$19)</f>
        <v>0.727554179566563</v>
      </c>
    </row>
    <row r="20" customFormat="false" ht="15" hidden="false" customHeight="false" outlineLevel="0" collapsed="false">
      <c r="A20" s="14" t="n">
        <v>16</v>
      </c>
      <c r="B20" s="15" t="s">
        <v>47</v>
      </c>
      <c r="C20" s="16" t="s">
        <v>48</v>
      </c>
      <c r="D20" s="17" t="n">
        <v>26</v>
      </c>
      <c r="E20" s="17" t="n">
        <v>14</v>
      </c>
      <c r="F20" s="17" t="n">
        <v>4</v>
      </c>
      <c r="G20" s="17" t="n">
        <v>3</v>
      </c>
      <c r="H20" s="17" t="n">
        <v>3</v>
      </c>
      <c r="I20" s="18" t="n">
        <f aca="false">D20*Assumptions!$B$5</f>
        <v>78</v>
      </c>
      <c r="J20" s="18" t="n">
        <f aca="false">E20*Assumptions!$B$6</f>
        <v>70</v>
      </c>
      <c r="K20" s="18" t="n">
        <f aca="false">F20*Assumptions!$B$7</f>
        <v>20</v>
      </c>
      <c r="L20" s="18" t="n">
        <f aca="false">G20*Assumptions!$B$8</f>
        <v>30</v>
      </c>
      <c r="M20" s="18" t="n">
        <f aca="false">H20*Assumptions!$B$9</f>
        <v>30</v>
      </c>
      <c r="N20" s="18" t="n">
        <f aca="false">SUM(I20:M20)</f>
        <v>228</v>
      </c>
      <c r="O20" s="19" t="n">
        <f aca="false">Assumptions!$C$6-E20</f>
        <v>2</v>
      </c>
      <c r="P20" s="18" t="n">
        <f aca="false">IF(O20&lt;=Assumptions!$B$13,Assumptions!$C$13,IF(O20&lt;=Assumptions!$B$14,Assumptions!$C$14,IF(O20&lt;=Assumptions!$B$15,Assumptions!$C$15,IF(O20&lt;=Assumptions!$B$16,Assumptions!$C$16,Assumptions!$C$17))))</f>
        <v>30</v>
      </c>
      <c r="Q20" s="20" t="n">
        <f aca="false">N20+P20</f>
        <v>258</v>
      </c>
      <c r="R20" s="21" t="n">
        <f aca="false">IF(Assumptions!$D$19=0,0,Q20/Assumptions!$D$19)</f>
        <v>0.798761609907121</v>
      </c>
    </row>
    <row r="21" customFormat="false" ht="15" hidden="false" customHeight="false" outlineLevel="0" collapsed="false">
      <c r="A21" s="6" t="n">
        <v>17</v>
      </c>
      <c r="B21" s="7" t="s">
        <v>47</v>
      </c>
      <c r="C21" s="8" t="s">
        <v>49</v>
      </c>
      <c r="D21" s="9" t="n">
        <v>28</v>
      </c>
      <c r="E21" s="9" t="n">
        <v>15</v>
      </c>
      <c r="F21" s="9" t="n">
        <v>4</v>
      </c>
      <c r="G21" s="9" t="n">
        <v>4</v>
      </c>
      <c r="H21" s="9" t="n">
        <v>3</v>
      </c>
      <c r="I21" s="10" t="n">
        <f aca="false">D21*Assumptions!$B$5</f>
        <v>84</v>
      </c>
      <c r="J21" s="10" t="n">
        <f aca="false">E21*Assumptions!$B$6</f>
        <v>75</v>
      </c>
      <c r="K21" s="10" t="n">
        <f aca="false">F21*Assumptions!$B$7</f>
        <v>20</v>
      </c>
      <c r="L21" s="10" t="n">
        <f aca="false">G21*Assumptions!$B$8</f>
        <v>40</v>
      </c>
      <c r="M21" s="10" t="n">
        <f aca="false">H21*Assumptions!$B$9</f>
        <v>30</v>
      </c>
      <c r="N21" s="10" t="n">
        <f aca="false">SUM(I21:M21)</f>
        <v>249</v>
      </c>
      <c r="O21" s="11" t="n">
        <f aca="false">Assumptions!$C$6-E21</f>
        <v>1</v>
      </c>
      <c r="P21" s="10" t="n">
        <f aca="false">IF(O21&lt;=Assumptions!$B$13,Assumptions!$C$13,IF(O21&lt;=Assumptions!$B$14,Assumptions!$C$14,IF(O21&lt;=Assumptions!$B$15,Assumptions!$C$15,IF(O21&lt;=Assumptions!$B$16,Assumptions!$C$16,Assumptions!$C$17))))</f>
        <v>30</v>
      </c>
      <c r="Q21" s="12" t="n">
        <f aca="false">N21+P21</f>
        <v>279</v>
      </c>
      <c r="R21" s="13" t="n">
        <f aca="false">IF(Assumptions!$D$19=0,0,Q21/Assumptions!$D$19)</f>
        <v>0.863777089783282</v>
      </c>
    </row>
    <row r="22" customFormat="false" ht="15" hidden="false" customHeight="false" outlineLevel="0" collapsed="false">
      <c r="A22" s="14" t="n">
        <v>18</v>
      </c>
      <c r="B22" s="15" t="s">
        <v>50</v>
      </c>
      <c r="C22" s="16" t="s">
        <v>51</v>
      </c>
      <c r="D22" s="17" t="n">
        <v>29</v>
      </c>
      <c r="E22" s="17" t="n">
        <v>15</v>
      </c>
      <c r="F22" s="17" t="n">
        <v>4</v>
      </c>
      <c r="G22" s="17" t="n">
        <v>4</v>
      </c>
      <c r="H22" s="17" t="n">
        <v>4</v>
      </c>
      <c r="I22" s="18" t="n">
        <f aca="false">D22*Assumptions!$B$5</f>
        <v>87</v>
      </c>
      <c r="J22" s="18" t="n">
        <f aca="false">E22*Assumptions!$B$6</f>
        <v>75</v>
      </c>
      <c r="K22" s="18" t="n">
        <f aca="false">F22*Assumptions!$B$7</f>
        <v>20</v>
      </c>
      <c r="L22" s="18" t="n">
        <f aca="false">G22*Assumptions!$B$8</f>
        <v>40</v>
      </c>
      <c r="M22" s="18" t="n">
        <f aca="false">H22*Assumptions!$B$9</f>
        <v>40</v>
      </c>
      <c r="N22" s="18" t="n">
        <f aca="false">SUM(I22:M22)</f>
        <v>262</v>
      </c>
      <c r="O22" s="19" t="n">
        <f aca="false">Assumptions!$C$6-E22</f>
        <v>1</v>
      </c>
      <c r="P22" s="18" t="n">
        <f aca="false">IF(O22&lt;=Assumptions!$B$13,Assumptions!$C$13,IF(O22&lt;=Assumptions!$B$14,Assumptions!$C$14,IF(O22&lt;=Assumptions!$B$15,Assumptions!$C$15,IF(O22&lt;=Assumptions!$B$16,Assumptions!$C$16,Assumptions!$C$17))))</f>
        <v>30</v>
      </c>
      <c r="Q22" s="20" t="n">
        <f aca="false">N22+P22</f>
        <v>292</v>
      </c>
      <c r="R22" s="21" t="n">
        <f aca="false">IF(Assumptions!$D$19=0,0,Q22/Assumptions!$D$19)</f>
        <v>0.904024767801858</v>
      </c>
    </row>
    <row r="23" customFormat="false" ht="15" hidden="false" customHeight="false" outlineLevel="0" collapsed="false">
      <c r="A23" s="6" t="n">
        <v>19</v>
      </c>
      <c r="B23" s="7" t="s">
        <v>52</v>
      </c>
      <c r="C23" s="8" t="s">
        <v>53</v>
      </c>
      <c r="D23" s="9" t="n">
        <v>31</v>
      </c>
      <c r="E23" s="9" t="n">
        <v>15</v>
      </c>
      <c r="F23" s="9" t="n">
        <v>4</v>
      </c>
      <c r="G23" s="9" t="n">
        <v>4</v>
      </c>
      <c r="H23" s="9" t="n">
        <v>4</v>
      </c>
      <c r="I23" s="10" t="n">
        <f aca="false">D23*Assumptions!$B$5</f>
        <v>93</v>
      </c>
      <c r="J23" s="10" t="n">
        <f aca="false">E23*Assumptions!$B$6</f>
        <v>75</v>
      </c>
      <c r="K23" s="10" t="n">
        <f aca="false">F23*Assumptions!$B$7</f>
        <v>20</v>
      </c>
      <c r="L23" s="10" t="n">
        <f aca="false">G23*Assumptions!$B$8</f>
        <v>40</v>
      </c>
      <c r="M23" s="10" t="n">
        <f aca="false">H23*Assumptions!$B$9</f>
        <v>40</v>
      </c>
      <c r="N23" s="10" t="n">
        <f aca="false">SUM(I23:M23)</f>
        <v>268</v>
      </c>
      <c r="O23" s="11" t="n">
        <f aca="false">Assumptions!$C$6-E23</f>
        <v>1</v>
      </c>
      <c r="P23" s="10" t="n">
        <f aca="false">IF(O23&lt;=Assumptions!$B$13,Assumptions!$C$13,IF(O23&lt;=Assumptions!$B$14,Assumptions!$C$14,IF(O23&lt;=Assumptions!$B$15,Assumptions!$C$15,IF(O23&lt;=Assumptions!$B$16,Assumptions!$C$16,Assumptions!$C$17))))</f>
        <v>30</v>
      </c>
      <c r="Q23" s="12" t="n">
        <f aca="false">N23+P23</f>
        <v>298</v>
      </c>
      <c r="R23" s="13" t="n">
        <f aca="false">IF(Assumptions!$D$19=0,0,Q23/Assumptions!$D$19)</f>
        <v>0.922600619195046</v>
      </c>
    </row>
    <row r="24" customFormat="false" ht="23.85" hidden="false" customHeight="false" outlineLevel="0" collapsed="false">
      <c r="A24" s="14" t="n">
        <v>20</v>
      </c>
      <c r="B24" s="15" t="s">
        <v>54</v>
      </c>
      <c r="C24" s="16" t="s">
        <v>55</v>
      </c>
      <c r="D24" s="17" t="n">
        <v>31</v>
      </c>
      <c r="E24" s="17" t="n">
        <v>16</v>
      </c>
      <c r="F24" s="17" t="n">
        <v>4</v>
      </c>
      <c r="G24" s="17" t="n">
        <v>4</v>
      </c>
      <c r="H24" s="17" t="n">
        <v>4</v>
      </c>
      <c r="I24" s="18" t="n">
        <f aca="false">D24*Assumptions!$B$5</f>
        <v>93</v>
      </c>
      <c r="J24" s="18" t="n">
        <f aca="false">E24*Assumptions!$B$6</f>
        <v>80</v>
      </c>
      <c r="K24" s="18" t="n">
        <f aca="false">F24*Assumptions!$B$7</f>
        <v>20</v>
      </c>
      <c r="L24" s="18" t="n">
        <f aca="false">G24*Assumptions!$B$8</f>
        <v>40</v>
      </c>
      <c r="M24" s="18" t="n">
        <f aca="false">H24*Assumptions!$B$9</f>
        <v>40</v>
      </c>
      <c r="N24" s="18" t="n">
        <f aca="false">SUM(I24:M24)</f>
        <v>273</v>
      </c>
      <c r="O24" s="19" t="n">
        <f aca="false">Assumptions!$C$6-E24</f>
        <v>0</v>
      </c>
      <c r="P24" s="18" t="n">
        <f aca="false">IF(O24&lt;=Assumptions!$B$13,Assumptions!$C$13,IF(O24&lt;=Assumptions!$B$14,Assumptions!$C$14,IF(O24&lt;=Assumptions!$B$15,Assumptions!$C$15,IF(O24&lt;=Assumptions!$B$16,Assumptions!$C$16,Assumptions!$C$17))))</f>
        <v>50</v>
      </c>
      <c r="Q24" s="20" t="n">
        <f aca="false">N24+P24</f>
        <v>323</v>
      </c>
      <c r="R24" s="21" t="n">
        <f aca="false">IF(Assumptions!$D$19=0,0,Q24/Assumptions!$D$19)</f>
        <v>1</v>
      </c>
    </row>
    <row r="26" customFormat="false" ht="15" hidden="false" customHeight="false" outlineLevel="0" collapsed="false">
      <c r="B26" s="22" t="s">
        <v>56</v>
      </c>
      <c r="N26" s="23" t="n">
        <f aca="false">AVERAGE(N5:N24)</f>
        <v>155.9</v>
      </c>
      <c r="P26" s="23" t="n">
        <f aca="false">AVERAGE(P5:P24)</f>
        <v>15</v>
      </c>
      <c r="Q26" s="23" t="n">
        <f aca="false">AVERAGE(Q5:Q24)</f>
        <v>170.9</v>
      </c>
    </row>
    <row r="27" customFormat="false" ht="15" hidden="false" customHeight="false" outlineLevel="0" collapsed="false">
      <c r="B27" s="22" t="s">
        <v>57</v>
      </c>
      <c r="N27" s="24" t="n">
        <f aca="false">Assumptions!D10</f>
        <v>273</v>
      </c>
      <c r="P27" s="24" t="n">
        <f aca="false">Assumptions!C13</f>
        <v>50</v>
      </c>
      <c r="Q27" s="24" t="n">
        <f aca="false">Assumptions!D19</f>
        <v>323</v>
      </c>
    </row>
  </sheetData>
  <dataValidations count="5">
    <dataValidation allowBlank="false" error="Enter a whole number between 0 and the monthly maximum on the Assumptions tab." errorStyle="stop" errorTitle="Out of range" operator="between" showDropDown="false" showErrorMessage="true" showInputMessage="false" sqref="D5:D24" type="whole">
      <formula1>0</formula1>
      <formula2>Assumptions!$C$5</formula2>
    </dataValidation>
    <dataValidation allowBlank="false" error="Enter a whole number between 0 and the monthly maximum on the Assumptions tab." errorStyle="stop" errorTitle="Out of range" operator="between" showDropDown="false" showErrorMessage="true" showInputMessage="false" sqref="E5:E24" type="whole">
      <formula1>0</formula1>
      <formula2>Assumptions!$C$6</formula2>
    </dataValidation>
    <dataValidation allowBlank="false" error="Enter a whole number between 0 and the monthly maximum on the Assumptions tab." errorStyle="stop" errorTitle="Out of range" operator="between" showDropDown="false" showErrorMessage="true" showInputMessage="false" sqref="F5:F24" type="whole">
      <formula1>0</formula1>
      <formula2>Assumptions!$C$7</formula2>
    </dataValidation>
    <dataValidation allowBlank="false" error="Enter a whole number between 0 and the monthly maximum on the Assumptions tab." errorStyle="stop" errorTitle="Out of range" operator="between" showDropDown="false" showErrorMessage="true" showInputMessage="false" sqref="G5:G24" type="whole">
      <formula1>0</formula1>
      <formula2>Assumptions!$C$8</formula2>
    </dataValidation>
    <dataValidation allowBlank="false" error="Enter a whole number between 0 and the monthly maximum on the Assumptions tab." errorStyle="stop" errorTitle="Out of range" operator="between" showDropDown="false" showErrorMessage="true" showInputMessage="false" sqref="H5:H24" type="whole">
      <formula1>0</formula1>
      <formula2>Assumptions!$C$9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25" t="s">
        <v>60</v>
      </c>
      <c r="B4" s="25" t="s">
        <v>61</v>
      </c>
      <c r="C4" s="25" t="s">
        <v>62</v>
      </c>
      <c r="D4" s="25" t="s">
        <v>63</v>
      </c>
    </row>
    <row r="5" customFormat="false" ht="15" hidden="false" customHeight="false" outlineLevel="0" collapsed="false">
      <c r="A5" s="7" t="s">
        <v>64</v>
      </c>
      <c r="B5" s="26" t="n">
        <v>3</v>
      </c>
      <c r="C5" s="27" t="n">
        <v>31</v>
      </c>
      <c r="D5" s="10" t="n">
        <f aca="false">B5*C5</f>
        <v>93</v>
      </c>
    </row>
    <row r="6" customFormat="false" ht="15" hidden="false" customHeight="false" outlineLevel="0" collapsed="false">
      <c r="A6" s="7" t="s">
        <v>65</v>
      </c>
      <c r="B6" s="26" t="n">
        <v>5</v>
      </c>
      <c r="C6" s="27" t="n">
        <v>16</v>
      </c>
      <c r="D6" s="10" t="n">
        <f aca="false">B6*C6</f>
        <v>80</v>
      </c>
    </row>
    <row r="7" customFormat="false" ht="15" hidden="false" customHeight="false" outlineLevel="0" collapsed="false">
      <c r="A7" s="7" t="s">
        <v>66</v>
      </c>
      <c r="B7" s="26" t="n">
        <v>5</v>
      </c>
      <c r="C7" s="27" t="n">
        <v>4</v>
      </c>
      <c r="D7" s="10" t="n">
        <f aca="false">B7*C7</f>
        <v>20</v>
      </c>
    </row>
    <row r="8" customFormat="false" ht="15" hidden="false" customHeight="false" outlineLevel="0" collapsed="false">
      <c r="A8" s="7" t="s">
        <v>67</v>
      </c>
      <c r="B8" s="26" t="n">
        <v>10</v>
      </c>
      <c r="C8" s="27" t="n">
        <v>4</v>
      </c>
      <c r="D8" s="10" t="n">
        <f aca="false">B8*C8</f>
        <v>40</v>
      </c>
    </row>
    <row r="9" customFormat="false" ht="15" hidden="false" customHeight="false" outlineLevel="0" collapsed="false">
      <c r="A9" s="7" t="s">
        <v>68</v>
      </c>
      <c r="B9" s="26" t="n">
        <v>10</v>
      </c>
      <c r="C9" s="27" t="n">
        <v>4</v>
      </c>
      <c r="D9" s="10" t="n">
        <f aca="false">B9*C9</f>
        <v>40</v>
      </c>
    </row>
    <row r="10" customFormat="false" ht="15" hidden="false" customHeight="false" outlineLevel="0" collapsed="false">
      <c r="A10" s="22" t="s">
        <v>69</v>
      </c>
      <c r="D10" s="23" t="n">
        <f aca="false">SUM(D5:D9)</f>
        <v>273</v>
      </c>
    </row>
    <row r="12" customFormat="false" ht="15" hidden="false" customHeight="false" outlineLevel="0" collapsed="false">
      <c r="A12" s="28" t="s">
        <v>70</v>
      </c>
      <c r="B12" s="28" t="s">
        <v>71</v>
      </c>
      <c r="C12" s="28" t="s">
        <v>20</v>
      </c>
    </row>
    <row r="13" customFormat="false" ht="15" hidden="false" customHeight="false" outlineLevel="0" collapsed="false">
      <c r="A13" s="7" t="s">
        <v>72</v>
      </c>
      <c r="B13" s="29" t="n">
        <v>0</v>
      </c>
      <c r="C13" s="26" t="n">
        <v>50</v>
      </c>
    </row>
    <row r="14" customFormat="false" ht="15" hidden="false" customHeight="false" outlineLevel="0" collapsed="false">
      <c r="A14" s="7" t="s">
        <v>73</v>
      </c>
      <c r="B14" s="29" t="n">
        <v>2</v>
      </c>
      <c r="C14" s="26" t="n">
        <v>30</v>
      </c>
    </row>
    <row r="15" customFormat="false" ht="15" hidden="false" customHeight="false" outlineLevel="0" collapsed="false">
      <c r="A15" s="7" t="s">
        <v>74</v>
      </c>
      <c r="B15" s="29" t="n">
        <v>4</v>
      </c>
      <c r="C15" s="26" t="n">
        <v>20</v>
      </c>
    </row>
    <row r="16" customFormat="false" ht="15" hidden="false" customHeight="false" outlineLevel="0" collapsed="false">
      <c r="A16" s="7" t="s">
        <v>75</v>
      </c>
      <c r="B16" s="29" t="n">
        <v>6</v>
      </c>
      <c r="C16" s="26" t="n">
        <v>10</v>
      </c>
    </row>
    <row r="17" customFormat="false" ht="15" hidden="false" customHeight="false" outlineLevel="0" collapsed="false">
      <c r="A17" s="7" t="s">
        <v>76</v>
      </c>
      <c r="B17" s="29" t="n">
        <v>99</v>
      </c>
      <c r="C17" s="26" t="n">
        <v>0</v>
      </c>
    </row>
    <row r="19" customFormat="false" ht="15" hidden="false" customHeight="false" outlineLevel="0" collapsed="false">
      <c r="A19" s="22" t="s">
        <v>77</v>
      </c>
      <c r="D19" s="30" t="n">
        <f aca="false">D10+C13</f>
        <v>323</v>
      </c>
    </row>
    <row r="21" customFormat="false" ht="15" hidden="false" customHeight="false" outlineLevel="0" collapsed="false">
      <c r="A21" s="22" t="s">
        <v>78</v>
      </c>
    </row>
    <row r="22" customFormat="false" ht="15" hidden="false" customHeight="false" outlineLevel="0" collapsed="false">
      <c r="A22" s="31" t="s">
        <v>79</v>
      </c>
    </row>
    <row r="23" customFormat="false" ht="15" hidden="false" customHeight="false" outlineLevel="0" collapsed="false">
      <c r="A23" s="31" t="s">
        <v>80</v>
      </c>
    </row>
    <row r="24" customFormat="false" ht="15" hidden="false" customHeight="false" outlineLevel="0" collapsed="false">
      <c r="A24" s="31" t="s">
        <v>81</v>
      </c>
    </row>
    <row r="25" customFormat="false" ht="15" hidden="false" customHeight="false" outlineLevel="0" collapsed="false">
      <c r="A25" s="31" t="s">
        <v>82</v>
      </c>
    </row>
    <row r="26" customFormat="false" ht="15" hidden="false" customHeight="false" outlineLevel="0" collapsed="false">
      <c r="A26" s="3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2026-09-23T18:32:08Z</dcterms:created>
  <dc:creator>openpyxl</dc:creator>
  <dc:description/>
  <dc:language>en-US</dc:language>
  <cp:lastModifiedBy/>
  <dcterms:modified xsi:type="dcterms:W3CDTF">2026-09-23T19:32:10Z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